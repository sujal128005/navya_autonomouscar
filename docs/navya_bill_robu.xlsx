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Bill" sheetId="1" state="visible" r:id="rId3"/>
    <sheet name="Route B (alternative)" sheetId="2" state="visible" r:id="rId4"/>
    <sheet name="Not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Navya</author>
  </authors>
  <commentList>
    <comment ref="G4" authorId="0">
      <text>
        <r>
          <rPr>
            <sz val="10"/>
            <rFont val="Arial"/>
            <family val="2"/>
          </rPr>
          <t xml:space="preserve">Prices as listed on Robu.in on 31-Oct-2026, incl. GST. They change; recheck before ordering.</t>
        </r>
      </text>
    </comment>
    <comment ref="I4" authorId="0">
      <text>
        <r>
          <rPr>
            <sz val="10"/>
            <rFont val="Arial"/>
            <family val="2"/>
          </rPr>
          <t xml:space="preserve">Stock checked on each product page on 31-Oct-2026.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Navya</author>
  </authors>
  <commentList>
    <comment ref="G4" authorId="0">
      <text>
        <r>
          <rPr>
            <sz val="10"/>
            <rFont val="Arial"/>
            <family val="2"/>
          </rPr>
          <t xml:space="preserve">Prices as listed on Robu.in on 31-Oct-2026, incl. GST. They change; recheck before ordering.</t>
        </r>
      </text>
    </comment>
    <comment ref="I4" authorId="0">
      <text>
        <r>
          <rPr>
            <sz val="10"/>
            <rFont val="Arial"/>
            <family val="2"/>
          </rPr>
          <t xml:space="preserve">Stock checked on each product page on 31-Oct-2026.</t>
        </r>
      </text>
    </comment>
  </commentList>
</comments>
</file>

<file path=xl/sharedStrings.xml><?xml version="1.0" encoding="utf-8"?>
<sst xmlns="http://schemas.openxmlformats.org/spreadsheetml/2006/main" count="194" uniqueCount="130">
  <si>
    <t xml:space="preserve">Navya - Steering &amp; Upgrades Bill (Robu.in)</t>
  </si>
  <si>
    <t xml:space="preserve">Route A (servo steering) + wiring + e-stop + battery switches + 256 GB microSD. Prices incl. GST, checked on Robu.in 31-Oct-2026. Blue cells = quantities/prices you can change; totals update.</t>
  </si>
  <si>
    <t xml:space="preserve">#</t>
  </si>
  <si>
    <t xml:space="preserve">Section</t>
  </si>
  <si>
    <t xml:space="preserve">Item</t>
  </si>
  <si>
    <t xml:space="preserve">Robu.in product</t>
  </si>
  <si>
    <t xml:space="preserve">SKU</t>
  </si>
  <si>
    <t xml:space="preserve">Qty</t>
  </si>
  <si>
    <t xml:space="preserve">Unit price (₹, incl. GST)</t>
  </si>
  <si>
    <t xml:space="preserve">Line total (₹)</t>
  </si>
  <si>
    <t xml:space="preserve">Stock on Robu</t>
  </si>
  <si>
    <t xml:space="preserve">Link</t>
  </si>
  <si>
    <t xml:space="preserve">Why we need it</t>
  </si>
  <si>
    <t xml:space="preserve">Steering</t>
  </si>
  <si>
    <t xml:space="preserve">Steering servo</t>
  </si>
  <si>
    <t xml:space="preserve">Pro-Range Brushless BL51180-24V 180kg·cm Metal Gear Digital Servo - 180°</t>
  </si>
  <si>
    <t xml:space="preserve">R251585</t>
  </si>
  <si>
    <t xml:space="preserve">In stock</t>
  </si>
  <si>
    <t xml:space="preserve">Open</t>
  </si>
  <si>
    <t xml:space="preserve">Turns the front axle. 165-205 kg·cm; runs on 19.2-25.2 V = straight from the 6S LiPo (no UBEC). Chosen over the 60 kg·cm DS5160 because the steering needs a firm push and must cope with roads.</t>
  </si>
  <si>
    <t xml:space="preserve">Servo arm</t>
  </si>
  <si>
    <t xml:space="preserve">CNC Aluminum Steering Servo Horn Arm for Futaba Standard 25T</t>
  </si>
  <si>
    <t xml:space="preserve">28414</t>
  </si>
  <si>
    <t xml:space="preserve">Connects the servo to the steering link. Check the spline fit on arrival.</t>
  </si>
  <si>
    <t xml:space="preserve">Ball joints (rod ends)</t>
  </si>
  <si>
    <t xml:space="preserve">Reprap Delta Kossel mini ball-headed buckle joint kit, 12 pcs M4</t>
  </si>
  <si>
    <t xml:space="preserve">R261537</t>
  </si>
  <si>
    <t xml:space="preserve">Pivoting ends for the link between servo arm and steering linkage.</t>
  </si>
  <si>
    <t xml:space="preserve">Link rod</t>
  </si>
  <si>
    <t xml:space="preserve">M4 x 20mm Male to Female Brass Hex Standoff - 6 pcs</t>
  </si>
  <si>
    <t xml:space="preserve">942325</t>
  </si>
  <si>
    <t xml:space="preserve">Screwed together to make an adjustable M4 rod between the two ball joints (Robu has no M4 threaded rod).</t>
  </si>
  <si>
    <t xml:space="preserve">Servo mounting bracket</t>
  </si>
  <si>
    <t xml:space="preserve">NOT AVAILABLE on Robu for the DS5160 size</t>
  </si>
  <si>
    <t xml:space="preserve">-</t>
  </si>
  <si>
    <t xml:space="preserve">Not on Robu</t>
  </si>
  <si>
    <t xml:space="preserve">Make locally: aluminium angle or 3D-printed plate (servo is about 65 x 30 x 48 mm).</t>
  </si>
  <si>
    <t xml:space="preserve">Wiring</t>
  </si>
  <si>
    <t xml:space="preserve">End-stop switches</t>
  </si>
  <si>
    <t xml:space="preserve">KW4-Z5F150-SPDT Roller Lever Micro Switch-5A</t>
  </si>
  <si>
    <t xml:space="preserve">R132437</t>
  </si>
  <si>
    <t xml:space="preserve">One at full left, one at full right, so steering can't strain against the end stops.</t>
  </si>
  <si>
    <t xml:space="preserve">Fuse holders</t>
  </si>
  <si>
    <t xml:space="preserve">Waterproof In Line Blade Fuse with Holders - 5 pcs</t>
  </si>
  <si>
    <t xml:space="preserve">699636</t>
  </si>
  <si>
    <t xml:space="preserve">Inline fuse on the servo / steering power lead.</t>
  </si>
  <si>
    <t xml:space="preserve">Fuses 10 A</t>
  </si>
  <si>
    <t xml:space="preserve">Littelfuse 0287010.PXCN Blade Fuse 10A 32V</t>
  </si>
  <si>
    <t xml:space="preserve">R182177</t>
  </si>
  <si>
    <t xml:space="preserve">10 A fuse for the 24 V servo lead (a 5 A fuse could blow when the servo pushes hard), plus spares.</t>
  </si>
  <si>
    <t xml:space="preserve">LiPo tap (male)</t>
  </si>
  <si>
    <t xml:space="preserve">SafeConnect XT-60 Male 14AWG 15cm Pigtail</t>
  </si>
  <si>
    <t xml:space="preserve">6783</t>
  </si>
  <si>
    <t xml:space="preserve">Clean, unpluggable tap off the LiPo for the servo power.</t>
  </si>
  <si>
    <t xml:space="preserve">LiPo tap (female)</t>
  </si>
  <si>
    <t xml:space="preserve">SafeConnect XT-60 Female 14AWG 15cm Pigtail</t>
  </si>
  <si>
    <t xml:space="preserve">57749</t>
  </si>
  <si>
    <t xml:space="preserve">Mates with the male pigtail.</t>
  </si>
  <si>
    <t xml:space="preserve">Power wire red (metres)</t>
  </si>
  <si>
    <t xml:space="preserve">18AWG High Voltage Silicone Wire 3000V - Red</t>
  </si>
  <si>
    <t xml:space="preserve">R164399</t>
  </si>
  <si>
    <t xml:space="preserve">Power wiring. Qty = metres (Robu sells per metre).</t>
  </si>
  <si>
    <t xml:space="preserve">Power wire black (metres)</t>
  </si>
  <si>
    <t xml:space="preserve">18AWG High Voltage Silicone Wire 3000V - Black</t>
  </si>
  <si>
    <t xml:space="preserve">R164398</t>
  </si>
  <si>
    <t xml:space="preserve">Power wiring. Qty = metres.</t>
  </si>
  <si>
    <t xml:space="preserve">Safety</t>
  </si>
  <si>
    <t xml:space="preserve">Emergency stop button</t>
  </si>
  <si>
    <t xml:space="preserve">ONPOW LAS1-A22Y-01TSB 22mm 1NC Emergency Stop Switch IP65</t>
  </si>
  <si>
    <t xml:space="preserve">R255027</t>
  </si>
  <si>
    <t xml:space="preserve">Big red button that cuts motor power, whatever the laptop or Arduino is doing.</t>
  </si>
  <si>
    <t xml:space="preserve">Power cut relay</t>
  </si>
  <si>
    <t xml:space="preserve">LANBOO JD2912 Car/Auto Relay 40A 24V 4-pin (1NO)</t>
  </si>
  <si>
    <t xml:space="preserve">R165230</t>
  </si>
  <si>
    <t xml:space="preserve">Switched by the e-stop; opens the motor controllers' power. Not needed if the e-stop goes in the power-lock wires.</t>
  </si>
  <si>
    <t xml:space="preserve">Relay socket</t>
  </si>
  <si>
    <t xml:space="preserve">LANBOO LB-J4 Pin Car/Auto Relay 40A Connector (1NO)</t>
  </si>
  <si>
    <t xml:space="preserve">R165248</t>
  </si>
  <si>
    <t xml:space="preserve">Socket with wires for the relay.</t>
  </si>
  <si>
    <t xml:space="preserve">Battery</t>
  </si>
  <si>
    <t xml:space="preserve">Main switch, left battery</t>
  </si>
  <si>
    <t xml:space="preserve">12V/24V Battery Disconnect Isolator Switch 100A, Red + 2 keys + 4 copper rings</t>
  </si>
  <si>
    <t xml:space="preserve">R265245</t>
  </si>
  <si>
    <t xml:space="preserve">Key switch in the left LiPo's + lead: turn off instead of unplugging at the controller. 100 A continuous.</t>
  </si>
  <si>
    <t xml:space="preserve">Main switch, right battery</t>
  </si>
  <si>
    <t xml:space="preserve">12V/24V Battery Disconnect Isolator Switch 100A, Black + 2 keys + 4 copper rings</t>
  </si>
  <si>
    <t xml:space="preserve">R265246</t>
  </si>
  <si>
    <t xml:space="preserve">Same for the right LiPo. Two separate switches keep the batteries separate (never joined).</t>
  </si>
  <si>
    <t xml:space="preserve">Storage</t>
  </si>
  <si>
    <t xml:space="preserve">256 GB microSD card</t>
  </si>
  <si>
    <t xml:space="preserve">SanDisk Ultra 256GB Micro SD Card 150MB/s Class 10</t>
  </si>
  <si>
    <t xml:space="preserve">R271422</t>
  </si>
  <si>
    <t xml:space="preserve">Trip recordings (about 16 h of video). Kingston 256GB (₹1,853) is out of stock; see Notes.</t>
  </si>
  <si>
    <t xml:space="preserve">Steering subtotal</t>
  </si>
  <si>
    <t xml:space="preserve">Wiring subtotal</t>
  </si>
  <si>
    <t xml:space="preserve">Safety subtotal</t>
  </si>
  <si>
    <t xml:space="preserve">Battery subtotal</t>
  </si>
  <si>
    <t xml:space="preserve">Storage subtotal</t>
  </si>
  <si>
    <t xml:space="preserve">GRAND TOTAL</t>
  </si>
  <si>
    <t xml:space="preserve">Shipping (if any) is extra; Robu shows it at checkout.</t>
  </si>
  <si>
    <t xml:space="preserve">Route B - keep the toy steering motor (instead of Bill rows 1-6)</t>
  </si>
  <si>
    <t xml:space="preserve">Cheaper parts but more work: the sensor must be fitted to the steering shaft and the Arduino runs the position loop. Power from the car's existing 12 V battery.</t>
  </si>
  <si>
    <t xml:space="preserve">Steering (alt.)</t>
  </si>
  <si>
    <t xml:space="preserve">Motor driver</t>
  </si>
  <si>
    <t xml:space="preserve">SmartElex BTS7960 DC Motor Driver Module</t>
  </si>
  <si>
    <t xml:space="preserve">R189064</t>
  </si>
  <si>
    <t xml:space="preserve">Drives the toy's own steering motor both ways. The cheaper 'Double BTS7960' (₹329) is out of stock.</t>
  </si>
  <si>
    <t xml:space="preserve">Angle sensor</t>
  </si>
  <si>
    <t xml:space="preserve">Magnetic encoder sensor module AS5600</t>
  </si>
  <si>
    <t xml:space="preserve">R175153</t>
  </si>
  <si>
    <t xml:space="preserve">Measures the steering shaft angle without contact. Check a diametric magnet is included.</t>
  </si>
  <si>
    <t xml:space="preserve">Steering (alt.) subtotal</t>
  </si>
  <si>
    <t xml:space="preserve">Navya bill - notes</t>
  </si>
  <si>
    <t xml:space="preserve">Source: every item is a Robu.in product page, price and stock read on 31-Oct-2026 (prices incl. GST).</t>
  </si>
  <si>
    <t xml:space="preserve">Prices and stock change often; open each link and recheck before paying.</t>
  </si>
  <si>
    <t xml:space="preserve">Choices and alternatives</t>
  </si>
  <si>
    <t xml:space="preserve">Servo: upgraded from DS5160 60 kg·cm (₹2,329 + ₹1,829 UBEC) to BL51180-24V 180 kg·cm (₹7,329, no UBEC) after the</t>
  </si>
  <si>
    <t xml:space="preserve">steering-effort test needed a firm push. 150/160 kg·cm servos (DS51150-12V, DS51160-24V) were out of stock.</t>
  </si>
  <si>
    <t xml:space="preserve">Servo bracket: Robu has no bracket for this large servo class (about 65 x 30 x 48 mm). Make one from aluminium angle or 3D-print it.</t>
  </si>
  <si>
    <t xml:space="preserve">Battery switches: 1-2-BOTH selector switches were avoided on purpose; they join both LiPos, which is unsafe if their charge differs.</t>
  </si>
  <si>
    <t xml:space="preserve">Link rod: Robu has no M4 threaded rod, so M4 male-female brass standoffs are screwed together into an adjustable rod.</t>
  </si>
  <si>
    <t xml:space="preserve">256 GB card: Kingston Canvas Select Plus 256GB (SKU R231495, ₹1,853) was cheaper but OUT OF STOCK.</t>
  </si>
  <si>
    <t xml:space="preserve">256 GB card for heavy, continuous recording: SanDisk V30 256GB High Endurance (SKU R165746, ₹7,699, in stock).</t>
  </si>
  <si>
    <t xml:space="preserve">E-stop relay + socket (₹389) are optional if the e-stop is wired in series with both controllers' power-lock wires.</t>
  </si>
  <si>
    <t xml:space="preserve">Route B motor driver: 'Double BTS7960 43A' (SKU 456144, ₹329) was OUT OF STOCK; SmartElex BTS7960 used instead.</t>
  </si>
  <si>
    <t xml:space="preserve">Before ordering</t>
  </si>
  <si>
    <t xml:space="preserve">Done: steering-effort test (needs a firm push) -&gt; 180 kg·cm servo chosen.</t>
  </si>
  <si>
    <t xml:space="preserve">Route A needs the toy steering gearbox disconnected from the linkage, otherwise the servo fights it. Grease the pivots.</t>
  </si>
  <si>
    <t xml:space="preserve">Wiring change with a servo (handled in firmware)</t>
  </si>
  <si>
    <t xml:space="preserve">Throttle moves D9/D10 -&gt; D5/D6, brakes D5/D6 -&gt; D11/D12, servo signal on D9, receiver CH1 on D4.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</si>
</sst>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₹#,##0;&quot;-₹&quot;#,##0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DDEB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robu.in/product/pro-range-bl51180-24v-180kgcmr-digital-servo/" TargetMode="External"/><Relationship Id="rId3" Type="http://schemas.openxmlformats.org/officeDocument/2006/relationships/hyperlink" Target="https://robu.in/product/cnc-aluminum-steering-servo-horn-arm-futaba-standard-25t-aluminum/" TargetMode="External"/><Relationship Id="rId4" Type="http://schemas.openxmlformats.org/officeDocument/2006/relationships/hyperlink" Target="https://robu.in/product/reprap-delta-kossel-mini-5347-delta-ball-headed-2/" TargetMode="External"/><Relationship Id="rId5" Type="http://schemas.openxmlformats.org/officeDocument/2006/relationships/hyperlink" Target="https://robu.in/product/m4-x-20mm-male-to-female-brass-hex-threaded-pillar-standoff-spacer-6-pcs/" TargetMode="External"/><Relationship Id="rId6" Type="http://schemas.openxmlformats.org/officeDocument/2006/relationships/hyperlink" Target="https://robu.in/product/kw4-z5f150-spdt-roller-lever-micro-switch-5a1-5n/" TargetMode="External"/><Relationship Id="rId7" Type="http://schemas.openxmlformats.org/officeDocument/2006/relationships/hyperlink" Target="https://robu.in/product/waterproof-in-line-blade-fuse-with-holders-for-car-fuse-replacement-socket-5pcs/" TargetMode="External"/><Relationship Id="rId8" Type="http://schemas.openxmlformats.org/officeDocument/2006/relationships/hyperlink" Target="https://robu.in/product/0287010-pxcn-littlefuse-32v-1ka-blade-fuse-10a-automotive-fuses-rohs/" TargetMode="External"/><Relationship Id="rId9" Type="http://schemas.openxmlformats.org/officeDocument/2006/relationships/hyperlink" Target="https://robu.in/product/xt60-male-w-12awg-silicon-wire-10cm-1pcsbag/" TargetMode="External"/><Relationship Id="rId10" Type="http://schemas.openxmlformats.org/officeDocument/2006/relationships/hyperlink" Target="https://robu.in/product/xt60-male-w-12awg-silicon-wire-10cm-1pcs-bag/" TargetMode="External"/><Relationship Id="rId11" Type="http://schemas.openxmlformats.org/officeDocument/2006/relationships/hyperlink" Target="https://robu.in/product/18awg-high-voltage-silicone-wire-3000v-red/" TargetMode="External"/><Relationship Id="rId12" Type="http://schemas.openxmlformats.org/officeDocument/2006/relationships/hyperlink" Target="https://robu.in/product/18awg-high-voltage-silicone-wire-3000v-black/" TargetMode="External"/><Relationship Id="rId13" Type="http://schemas.openxmlformats.org/officeDocument/2006/relationships/hyperlink" Target="https://robu.in/product/onpow-las1-a22y-01tsb-22mm-1nc-flat-round-emergency-stop-switch-ip65-4/" TargetMode="External"/><Relationship Id="rId14" Type="http://schemas.openxmlformats.org/officeDocument/2006/relationships/hyperlink" Target="https://robu.in/product/jd2912-lanboo-car-auto-relay-40a-24v-4-pin-shape-back1no/" TargetMode="External"/><Relationship Id="rId15" Type="http://schemas.openxmlformats.org/officeDocument/2006/relationships/hyperlink" Target="https://robu.in/product/lb-j4-pin-lanboo-car-auto-relay-40a-connector1no/" TargetMode="External"/><Relationship Id="rId16" Type="http://schemas.openxmlformats.org/officeDocument/2006/relationships/hyperlink" Target="https://robu.in/product/12v24v-car-battery-power-switch-disconnect-isolator-red2-keys4pcs-copper-ring4pcs-heat-shrink/" TargetMode="External"/><Relationship Id="rId17" Type="http://schemas.openxmlformats.org/officeDocument/2006/relationships/hyperlink" Target="https://robu.in/product/12v24v-car-battery-power-switch-disconnect-isolator-black2-keys4pcs-copper-ring4pcs-heat-shrink/" TargetMode="External"/><Relationship Id="rId18" Type="http://schemas.openxmlformats.org/officeDocument/2006/relationships/hyperlink" Target="https://robu.in/product/sandisk-ultra-micro-sd-card-256gb-class-10-memory-card/" TargetMode="External"/><Relationship Id="rId19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robu.in/product/smartelex-bts7960-dc-motor-driver-module/" TargetMode="External"/><Relationship Id="rId3" Type="http://schemas.openxmlformats.org/officeDocument/2006/relationships/hyperlink" Target="https://robu.in/product/magnetic-encoder-sensor-module-as5600/" TargetMode="External"/><Relationship Id="rId4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4"/>
    <col collapsed="false" customWidth="true" hidden="false" outlineLevel="0" max="3" min="3" style="0" width="24"/>
    <col collapsed="false" customWidth="true" hidden="false" outlineLevel="0" max="4" min="4" style="0" width="46"/>
    <col collapsed="false" customWidth="true" hidden="false" outlineLevel="0" max="5" min="5" style="0" width="11"/>
    <col collapsed="false" customWidth="true" hidden="false" outlineLevel="0" max="6" min="6" style="0" width="6"/>
    <col collapsed="false" customWidth="true" hidden="false" outlineLevel="0" max="8" min="7" style="0" width="14"/>
    <col collapsed="false" customWidth="true" hidden="false" outlineLevel="0" max="9" min="9" style="0" width="16"/>
    <col collapsed="false" customWidth="true" hidden="false" outlineLevel="0" max="10" min="10" style="0" width="12"/>
    <col collapsed="false" customWidth="true" hidden="false" outlineLevel="0" max="11" min="11" style="0" width="4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customFormat="false" ht="46" hidden="false" customHeight="false" outlineLevel="0" collapsed="false">
      <c r="A5" s="4" t="n">
        <v>1</v>
      </c>
      <c r="B5" s="4" t="s">
        <v>13</v>
      </c>
      <c r="C5" s="4" t="s">
        <v>14</v>
      </c>
      <c r="D5" s="4" t="s">
        <v>15</v>
      </c>
      <c r="E5" s="4" t="s">
        <v>16</v>
      </c>
      <c r="F5" s="5" t="n">
        <v>1</v>
      </c>
      <c r="G5" s="6" t="n">
        <v>7329</v>
      </c>
      <c r="H5" s="7" t="n">
        <f aca="false">F5*G5</f>
        <v>7329</v>
      </c>
      <c r="I5" s="4" t="s">
        <v>17</v>
      </c>
      <c r="J5" s="8" t="s">
        <v>18</v>
      </c>
      <c r="K5" s="4" t="s">
        <v>19</v>
      </c>
    </row>
    <row r="6" customFormat="false" ht="24" hidden="false" customHeight="false" outlineLevel="0" collapsed="false">
      <c r="A6" s="4" t="n">
        <v>2</v>
      </c>
      <c r="B6" s="4" t="s">
        <v>13</v>
      </c>
      <c r="C6" s="4" t="s">
        <v>20</v>
      </c>
      <c r="D6" s="4" t="s">
        <v>21</v>
      </c>
      <c r="E6" s="4" t="s">
        <v>22</v>
      </c>
      <c r="F6" s="5" t="n">
        <v>1</v>
      </c>
      <c r="G6" s="6" t="n">
        <v>89</v>
      </c>
      <c r="H6" s="7" t="n">
        <f aca="false">F6*G6</f>
        <v>89</v>
      </c>
      <c r="I6" s="4" t="s">
        <v>17</v>
      </c>
      <c r="J6" s="8" t="s">
        <v>18</v>
      </c>
      <c r="K6" s="4" t="s">
        <v>23</v>
      </c>
    </row>
    <row r="7" customFormat="false" ht="24" hidden="false" customHeight="false" outlineLevel="0" collapsed="false">
      <c r="A7" s="4" t="n">
        <v>3</v>
      </c>
      <c r="B7" s="4" t="s">
        <v>13</v>
      </c>
      <c r="C7" s="4" t="s">
        <v>24</v>
      </c>
      <c r="D7" s="4" t="s">
        <v>25</v>
      </c>
      <c r="E7" s="4" t="s">
        <v>26</v>
      </c>
      <c r="F7" s="5" t="n">
        <v>1</v>
      </c>
      <c r="G7" s="6" t="n">
        <v>299</v>
      </c>
      <c r="H7" s="7" t="n">
        <f aca="false">F7*G7</f>
        <v>299</v>
      </c>
      <c r="I7" s="4" t="s">
        <v>17</v>
      </c>
      <c r="J7" s="8" t="s">
        <v>18</v>
      </c>
      <c r="K7" s="4" t="s">
        <v>27</v>
      </c>
    </row>
    <row r="8" customFormat="false" ht="24" hidden="false" customHeight="false" outlineLevel="0" collapsed="false">
      <c r="A8" s="4" t="n">
        <v>4</v>
      </c>
      <c r="B8" s="4" t="s">
        <v>13</v>
      </c>
      <c r="C8" s="4" t="s">
        <v>28</v>
      </c>
      <c r="D8" s="4" t="s">
        <v>29</v>
      </c>
      <c r="E8" s="4" t="s">
        <v>30</v>
      </c>
      <c r="F8" s="5" t="n">
        <v>1</v>
      </c>
      <c r="G8" s="6" t="n">
        <v>167</v>
      </c>
      <c r="H8" s="7" t="n">
        <f aca="false">F8*G8</f>
        <v>167</v>
      </c>
      <c r="I8" s="4" t="s">
        <v>17</v>
      </c>
      <c r="J8" s="8" t="s">
        <v>18</v>
      </c>
      <c r="K8" s="4" t="s">
        <v>31</v>
      </c>
    </row>
    <row r="9" customFormat="false" ht="24" hidden="false" customHeight="false" outlineLevel="0" collapsed="false">
      <c r="A9" s="9" t="n">
        <v>5</v>
      </c>
      <c r="B9" s="9" t="s">
        <v>13</v>
      </c>
      <c r="C9" s="9" t="s">
        <v>32</v>
      </c>
      <c r="D9" s="9" t="s">
        <v>33</v>
      </c>
      <c r="E9" s="9" t="s">
        <v>34</v>
      </c>
      <c r="F9" s="10" t="n">
        <v>1</v>
      </c>
      <c r="G9" s="11" t="n">
        <v>0</v>
      </c>
      <c r="H9" s="12" t="n">
        <f aca="false">F9*G9</f>
        <v>0</v>
      </c>
      <c r="I9" s="9" t="s">
        <v>35</v>
      </c>
      <c r="J9" s="9" t="s">
        <v>34</v>
      </c>
      <c r="K9" s="9" t="s">
        <v>36</v>
      </c>
    </row>
    <row r="10" customFormat="false" ht="24" hidden="false" customHeight="false" outlineLevel="0" collapsed="false">
      <c r="A10" s="4" t="n">
        <v>6</v>
      </c>
      <c r="B10" s="4" t="s">
        <v>37</v>
      </c>
      <c r="C10" s="4" t="s">
        <v>38</v>
      </c>
      <c r="D10" s="4" t="s">
        <v>39</v>
      </c>
      <c r="E10" s="4" t="s">
        <v>40</v>
      </c>
      <c r="F10" s="5" t="n">
        <v>2</v>
      </c>
      <c r="G10" s="6" t="n">
        <v>23</v>
      </c>
      <c r="H10" s="7" t="n">
        <f aca="false">F10*G10</f>
        <v>46</v>
      </c>
      <c r="I10" s="4" t="s">
        <v>17</v>
      </c>
      <c r="J10" s="8" t="s">
        <v>18</v>
      </c>
      <c r="K10" s="4" t="s">
        <v>41</v>
      </c>
    </row>
    <row r="11" customFormat="false" ht="15" hidden="false" customHeight="false" outlineLevel="0" collapsed="false">
      <c r="A11" s="4" t="n">
        <v>7</v>
      </c>
      <c r="B11" s="4" t="s">
        <v>37</v>
      </c>
      <c r="C11" s="4" t="s">
        <v>42</v>
      </c>
      <c r="D11" s="4" t="s">
        <v>43</v>
      </c>
      <c r="E11" s="4" t="s">
        <v>44</v>
      </c>
      <c r="F11" s="5" t="n">
        <v>1</v>
      </c>
      <c r="G11" s="6" t="n">
        <v>629</v>
      </c>
      <c r="H11" s="7" t="n">
        <f aca="false">F11*G11</f>
        <v>629</v>
      </c>
      <c r="I11" s="4" t="s">
        <v>17</v>
      </c>
      <c r="J11" s="8" t="s">
        <v>18</v>
      </c>
      <c r="K11" s="4" t="s">
        <v>45</v>
      </c>
    </row>
    <row r="12" customFormat="false" ht="24" hidden="false" customHeight="false" outlineLevel="0" collapsed="false">
      <c r="A12" s="4" t="n">
        <v>8</v>
      </c>
      <c r="B12" s="4" t="s">
        <v>37</v>
      </c>
      <c r="C12" s="4" t="s">
        <v>46</v>
      </c>
      <c r="D12" s="4" t="s">
        <v>47</v>
      </c>
      <c r="E12" s="4" t="s">
        <v>48</v>
      </c>
      <c r="F12" s="5" t="n">
        <v>4</v>
      </c>
      <c r="G12" s="6" t="n">
        <v>17</v>
      </c>
      <c r="H12" s="7" t="n">
        <f aca="false">F12*G12</f>
        <v>68</v>
      </c>
      <c r="I12" s="4" t="s">
        <v>17</v>
      </c>
      <c r="J12" s="8" t="s">
        <v>18</v>
      </c>
      <c r="K12" s="4" t="s">
        <v>49</v>
      </c>
    </row>
    <row r="13" customFormat="false" ht="15" hidden="false" customHeight="false" outlineLevel="0" collapsed="false">
      <c r="A13" s="4" t="n">
        <v>9</v>
      </c>
      <c r="B13" s="4" t="s">
        <v>37</v>
      </c>
      <c r="C13" s="4" t="s">
        <v>50</v>
      </c>
      <c r="D13" s="4" t="s">
        <v>51</v>
      </c>
      <c r="E13" s="4" t="s">
        <v>52</v>
      </c>
      <c r="F13" s="5" t="n">
        <v>1</v>
      </c>
      <c r="G13" s="6" t="n">
        <v>89</v>
      </c>
      <c r="H13" s="7" t="n">
        <f aca="false">F13*G13</f>
        <v>89</v>
      </c>
      <c r="I13" s="4" t="s">
        <v>17</v>
      </c>
      <c r="J13" s="8" t="s">
        <v>18</v>
      </c>
      <c r="K13" s="4" t="s">
        <v>53</v>
      </c>
    </row>
    <row r="14" customFormat="false" ht="15" hidden="false" customHeight="false" outlineLevel="0" collapsed="false">
      <c r="A14" s="4" t="n">
        <v>10</v>
      </c>
      <c r="B14" s="4" t="s">
        <v>37</v>
      </c>
      <c r="C14" s="4" t="s">
        <v>54</v>
      </c>
      <c r="D14" s="4" t="s">
        <v>55</v>
      </c>
      <c r="E14" s="4" t="s">
        <v>56</v>
      </c>
      <c r="F14" s="5" t="n">
        <v>1</v>
      </c>
      <c r="G14" s="6" t="n">
        <v>74</v>
      </c>
      <c r="H14" s="7" t="n">
        <f aca="false">F14*G14</f>
        <v>74</v>
      </c>
      <c r="I14" s="4" t="s">
        <v>17</v>
      </c>
      <c r="J14" s="8" t="s">
        <v>18</v>
      </c>
      <c r="K14" s="4" t="s">
        <v>57</v>
      </c>
    </row>
    <row r="15" customFormat="false" ht="15" hidden="false" customHeight="false" outlineLevel="0" collapsed="false">
      <c r="A15" s="4" t="n">
        <v>11</v>
      </c>
      <c r="B15" s="4" t="s">
        <v>37</v>
      </c>
      <c r="C15" s="4" t="s">
        <v>58</v>
      </c>
      <c r="D15" s="4" t="s">
        <v>59</v>
      </c>
      <c r="E15" s="4" t="s">
        <v>60</v>
      </c>
      <c r="F15" s="5" t="n">
        <v>2</v>
      </c>
      <c r="G15" s="6" t="n">
        <v>57</v>
      </c>
      <c r="H15" s="7" t="n">
        <f aca="false">F15*G15</f>
        <v>114</v>
      </c>
      <c r="I15" s="4" t="s">
        <v>17</v>
      </c>
      <c r="J15" s="8" t="s">
        <v>18</v>
      </c>
      <c r="K15" s="4" t="s">
        <v>61</v>
      </c>
    </row>
    <row r="16" customFormat="false" ht="15" hidden="false" customHeight="false" outlineLevel="0" collapsed="false">
      <c r="A16" s="4" t="n">
        <v>12</v>
      </c>
      <c r="B16" s="4" t="s">
        <v>37</v>
      </c>
      <c r="C16" s="4" t="s">
        <v>62</v>
      </c>
      <c r="D16" s="4" t="s">
        <v>63</v>
      </c>
      <c r="E16" s="4" t="s">
        <v>64</v>
      </c>
      <c r="F16" s="5" t="n">
        <v>2</v>
      </c>
      <c r="G16" s="6" t="n">
        <v>57</v>
      </c>
      <c r="H16" s="7" t="n">
        <f aca="false">F16*G16</f>
        <v>114</v>
      </c>
      <c r="I16" s="4" t="s">
        <v>17</v>
      </c>
      <c r="J16" s="8" t="s">
        <v>18</v>
      </c>
      <c r="K16" s="4" t="s">
        <v>65</v>
      </c>
    </row>
    <row r="17" customFormat="false" ht="24" hidden="false" customHeight="false" outlineLevel="0" collapsed="false">
      <c r="A17" s="4" t="n">
        <v>13</v>
      </c>
      <c r="B17" s="4" t="s">
        <v>66</v>
      </c>
      <c r="C17" s="4" t="s">
        <v>67</v>
      </c>
      <c r="D17" s="4" t="s">
        <v>68</v>
      </c>
      <c r="E17" s="4" t="s">
        <v>69</v>
      </c>
      <c r="F17" s="5" t="n">
        <v>1</v>
      </c>
      <c r="G17" s="6" t="n">
        <v>1071</v>
      </c>
      <c r="H17" s="7" t="n">
        <f aca="false">F17*G17</f>
        <v>1071</v>
      </c>
      <c r="I17" s="4" t="s">
        <v>17</v>
      </c>
      <c r="J17" s="8" t="s">
        <v>18</v>
      </c>
      <c r="K17" s="4" t="s">
        <v>70</v>
      </c>
    </row>
    <row r="18" customFormat="false" ht="35" hidden="false" customHeight="false" outlineLevel="0" collapsed="false">
      <c r="A18" s="4" t="n">
        <v>14</v>
      </c>
      <c r="B18" s="4" t="s">
        <v>66</v>
      </c>
      <c r="C18" s="4" t="s">
        <v>71</v>
      </c>
      <c r="D18" s="4" t="s">
        <v>72</v>
      </c>
      <c r="E18" s="4" t="s">
        <v>73</v>
      </c>
      <c r="F18" s="5" t="n">
        <v>1</v>
      </c>
      <c r="G18" s="6" t="n">
        <v>170</v>
      </c>
      <c r="H18" s="7" t="n">
        <f aca="false">F18*G18</f>
        <v>170</v>
      </c>
      <c r="I18" s="4" t="s">
        <v>17</v>
      </c>
      <c r="J18" s="8" t="s">
        <v>18</v>
      </c>
      <c r="K18" s="4" t="s">
        <v>74</v>
      </c>
    </row>
    <row r="19" customFormat="false" ht="24" hidden="false" customHeight="false" outlineLevel="0" collapsed="false">
      <c r="A19" s="4" t="n">
        <v>15</v>
      </c>
      <c r="B19" s="4" t="s">
        <v>66</v>
      </c>
      <c r="C19" s="4" t="s">
        <v>75</v>
      </c>
      <c r="D19" s="4" t="s">
        <v>76</v>
      </c>
      <c r="E19" s="4" t="s">
        <v>77</v>
      </c>
      <c r="F19" s="5" t="n">
        <v>1</v>
      </c>
      <c r="G19" s="6" t="n">
        <v>219</v>
      </c>
      <c r="H19" s="7" t="n">
        <f aca="false">F19*G19</f>
        <v>219</v>
      </c>
      <c r="I19" s="4" t="s">
        <v>17</v>
      </c>
      <c r="J19" s="8" t="s">
        <v>18</v>
      </c>
      <c r="K19" s="4" t="s">
        <v>78</v>
      </c>
    </row>
    <row r="20" customFormat="false" ht="24" hidden="false" customHeight="false" outlineLevel="0" collapsed="false">
      <c r="A20" s="4" t="n">
        <v>16</v>
      </c>
      <c r="B20" s="4" t="s">
        <v>79</v>
      </c>
      <c r="C20" s="4" t="s">
        <v>80</v>
      </c>
      <c r="D20" s="4" t="s">
        <v>81</v>
      </c>
      <c r="E20" s="4" t="s">
        <v>82</v>
      </c>
      <c r="F20" s="5" t="n">
        <v>1</v>
      </c>
      <c r="G20" s="6" t="n">
        <v>909</v>
      </c>
      <c r="H20" s="7" t="n">
        <f aca="false">F20*G20</f>
        <v>909</v>
      </c>
      <c r="I20" s="4" t="s">
        <v>17</v>
      </c>
      <c r="J20" s="8" t="s">
        <v>18</v>
      </c>
      <c r="K20" s="4" t="s">
        <v>83</v>
      </c>
    </row>
    <row r="21" customFormat="false" ht="24" hidden="false" customHeight="false" outlineLevel="0" collapsed="false">
      <c r="A21" s="4" t="n">
        <v>17</v>
      </c>
      <c r="B21" s="4" t="s">
        <v>79</v>
      </c>
      <c r="C21" s="4" t="s">
        <v>84</v>
      </c>
      <c r="D21" s="4" t="s">
        <v>85</v>
      </c>
      <c r="E21" s="4" t="s">
        <v>86</v>
      </c>
      <c r="F21" s="5" t="n">
        <v>1</v>
      </c>
      <c r="G21" s="6" t="n">
        <v>909</v>
      </c>
      <c r="H21" s="7" t="n">
        <f aca="false">F21*G21</f>
        <v>909</v>
      </c>
      <c r="I21" s="4" t="s">
        <v>17</v>
      </c>
      <c r="J21" s="8" t="s">
        <v>18</v>
      </c>
      <c r="K21" s="4" t="s">
        <v>87</v>
      </c>
    </row>
    <row r="22" customFormat="false" ht="24" hidden="false" customHeight="false" outlineLevel="0" collapsed="false">
      <c r="A22" s="4" t="n">
        <v>18</v>
      </c>
      <c r="B22" s="4" t="s">
        <v>88</v>
      </c>
      <c r="C22" s="4" t="s">
        <v>89</v>
      </c>
      <c r="D22" s="4" t="s">
        <v>90</v>
      </c>
      <c r="E22" s="4" t="s">
        <v>91</v>
      </c>
      <c r="F22" s="5" t="n">
        <v>1</v>
      </c>
      <c r="G22" s="6" t="n">
        <v>3999</v>
      </c>
      <c r="H22" s="7" t="n">
        <f aca="false">F22*G22</f>
        <v>3999</v>
      </c>
      <c r="I22" s="4" t="s">
        <v>17</v>
      </c>
      <c r="J22" s="8" t="s">
        <v>18</v>
      </c>
      <c r="K22" s="4" t="s">
        <v>92</v>
      </c>
    </row>
    <row r="24" customFormat="false" ht="15" hidden="false" customHeight="false" outlineLevel="0" collapsed="false">
      <c r="G24" s="13" t="s">
        <v>93</v>
      </c>
      <c r="H24" s="14" t="n">
        <f aca="false">SUMIF($B$5:$B$22,"Steering",$H$5:$H$22)</f>
        <v>7884</v>
      </c>
    </row>
    <row r="25" customFormat="false" ht="15" hidden="false" customHeight="false" outlineLevel="0" collapsed="false">
      <c r="G25" s="13" t="s">
        <v>94</v>
      </c>
      <c r="H25" s="14" t="n">
        <f aca="false">SUMIF($B$5:$B$22,"Wiring",$H$5:$H$22)</f>
        <v>1134</v>
      </c>
    </row>
    <row r="26" customFormat="false" ht="15" hidden="false" customHeight="false" outlineLevel="0" collapsed="false">
      <c r="G26" s="13" t="s">
        <v>95</v>
      </c>
      <c r="H26" s="14" t="n">
        <f aca="false">SUMIF($B$5:$B$22,"Safety",$H$5:$H$22)</f>
        <v>1460</v>
      </c>
    </row>
    <row r="27" customFormat="false" ht="15" hidden="false" customHeight="false" outlineLevel="0" collapsed="false">
      <c r="G27" s="13" t="s">
        <v>96</v>
      </c>
      <c r="H27" s="14" t="n">
        <f aca="false">SUMIF($B$5:$B$22,"Battery",$H$5:$H$22)</f>
        <v>1818</v>
      </c>
    </row>
    <row r="28" customFormat="false" ht="15" hidden="false" customHeight="false" outlineLevel="0" collapsed="false">
      <c r="G28" s="13" t="s">
        <v>97</v>
      </c>
      <c r="H28" s="14" t="n">
        <f aca="false">SUMIF($B$5:$B$22,"Storage",$H$5:$H$22)</f>
        <v>3999</v>
      </c>
    </row>
    <row r="29" customFormat="false" ht="15" hidden="false" customHeight="false" outlineLevel="0" collapsed="false">
      <c r="G29" s="15" t="s">
        <v>98</v>
      </c>
      <c r="H29" s="16" t="n">
        <f aca="false">SUM(H5:H22)</f>
        <v>16295</v>
      </c>
    </row>
    <row r="30" customFormat="false" ht="15" hidden="false" customHeight="false" outlineLevel="0" collapsed="false">
      <c r="G30" s="2" t="s">
        <v>99</v>
      </c>
    </row>
  </sheetData>
  <hyperlinks>
    <hyperlink ref="J5" r:id="rId2" display="Open"/>
    <hyperlink ref="J6" r:id="rId3" display="Open"/>
    <hyperlink ref="J7" r:id="rId4" display="Open"/>
    <hyperlink ref="J8" r:id="rId5" display="Open"/>
    <hyperlink ref="J10" r:id="rId6" display="Open"/>
    <hyperlink ref="J11" r:id="rId7" display="Open"/>
    <hyperlink ref="J12" r:id="rId8" display="Open"/>
    <hyperlink ref="J13" r:id="rId9" display="Open"/>
    <hyperlink ref="J14" r:id="rId10" display="Open"/>
    <hyperlink ref="J15" r:id="rId11" display="Open"/>
    <hyperlink ref="J16" r:id="rId12" display="Open"/>
    <hyperlink ref="J17" r:id="rId13" display="Open"/>
    <hyperlink ref="J18" r:id="rId14" display="Open"/>
    <hyperlink ref="J19" r:id="rId15" display="Open"/>
    <hyperlink ref="J20" r:id="rId16" display="Open"/>
    <hyperlink ref="J21" r:id="rId17" display="Open"/>
    <hyperlink ref="J22" r:id="rId18" display="Ope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19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4"/>
    <col collapsed="false" customWidth="true" hidden="false" outlineLevel="0" max="3" min="3" style="0" width="24"/>
    <col collapsed="false" customWidth="true" hidden="false" outlineLevel="0" max="4" min="4" style="0" width="46"/>
    <col collapsed="false" customWidth="true" hidden="false" outlineLevel="0" max="5" min="5" style="0" width="11"/>
    <col collapsed="false" customWidth="true" hidden="false" outlineLevel="0" max="6" min="6" style="0" width="6"/>
    <col collapsed="false" customWidth="true" hidden="false" outlineLevel="0" max="8" min="7" style="0" width="14"/>
    <col collapsed="false" customWidth="true" hidden="false" outlineLevel="0" max="9" min="9" style="0" width="16"/>
    <col collapsed="false" customWidth="true" hidden="false" outlineLevel="0" max="10" min="10" style="0" width="12"/>
    <col collapsed="false" customWidth="true" hidden="false" outlineLevel="0" max="11" min="11" style="0" width="48"/>
  </cols>
  <sheetData>
    <row r="1" customFormat="false" ht="17.35" hidden="false" customHeight="false" outlineLevel="0" collapsed="false">
      <c r="A1" s="1" t="s">
        <v>100</v>
      </c>
    </row>
    <row r="2" customFormat="false" ht="15" hidden="false" customHeight="false" outlineLevel="0" collapsed="false">
      <c r="A2" s="2" t="s">
        <v>101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customFormat="false" ht="24" hidden="false" customHeight="false" outlineLevel="0" collapsed="false">
      <c r="A5" s="4" t="n">
        <v>1</v>
      </c>
      <c r="B5" s="4" t="s">
        <v>102</v>
      </c>
      <c r="C5" s="4" t="s">
        <v>103</v>
      </c>
      <c r="D5" s="4" t="s">
        <v>104</v>
      </c>
      <c r="E5" s="4" t="s">
        <v>105</v>
      </c>
      <c r="F5" s="5" t="n">
        <v>1</v>
      </c>
      <c r="G5" s="6" t="n">
        <v>1273</v>
      </c>
      <c r="H5" s="7" t="n">
        <f aca="false">F5*G5</f>
        <v>1273</v>
      </c>
      <c r="I5" s="4" t="s">
        <v>17</v>
      </c>
      <c r="J5" s="8" t="s">
        <v>18</v>
      </c>
      <c r="K5" s="4" t="s">
        <v>106</v>
      </c>
    </row>
    <row r="6" customFormat="false" ht="24" hidden="false" customHeight="false" outlineLevel="0" collapsed="false">
      <c r="A6" s="4" t="n">
        <v>2</v>
      </c>
      <c r="B6" s="4" t="s">
        <v>102</v>
      </c>
      <c r="C6" s="4" t="s">
        <v>107</v>
      </c>
      <c r="D6" s="4" t="s">
        <v>108</v>
      </c>
      <c r="E6" s="4" t="s">
        <v>109</v>
      </c>
      <c r="F6" s="5" t="n">
        <v>1</v>
      </c>
      <c r="G6" s="6" t="n">
        <v>159</v>
      </c>
      <c r="H6" s="7" t="n">
        <f aca="false">F6*G6</f>
        <v>159</v>
      </c>
      <c r="I6" s="4" t="s">
        <v>17</v>
      </c>
      <c r="J6" s="8" t="s">
        <v>18</v>
      </c>
      <c r="K6" s="4" t="s">
        <v>110</v>
      </c>
    </row>
    <row r="8" customFormat="false" ht="15" hidden="false" customHeight="false" outlineLevel="0" collapsed="false">
      <c r="G8" s="13" t="s">
        <v>111</v>
      </c>
      <c r="H8" s="14" t="n">
        <f aca="false">SUMIF($B$5:$B$6,"Steering (alt.)",$H$5:$H$6)</f>
        <v>1432</v>
      </c>
    </row>
    <row r="9" customFormat="false" ht="15" hidden="false" customHeight="false" outlineLevel="0" collapsed="false">
      <c r="G9" s="15" t="s">
        <v>98</v>
      </c>
      <c r="H9" s="16" t="n">
        <f aca="false">SUM(H5:H6)</f>
        <v>1432</v>
      </c>
    </row>
    <row r="10" customFormat="false" ht="15" hidden="false" customHeight="false" outlineLevel="0" collapsed="false">
      <c r="G10" s="2" t="s">
        <v>99</v>
      </c>
    </row>
  </sheetData>
  <hyperlinks>
    <hyperlink ref="J5" r:id="rId2" display="Open"/>
    <hyperlink ref="J6" r:id="rId3" display="Ope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130"/>
  </cols>
  <sheetData>
    <row r="1" customFormat="false" ht="17.35" hidden="false" customHeight="false" outlineLevel="0" collapsed="false">
      <c r="A1" s="1" t="s">
        <v>112</v>
      </c>
    </row>
    <row r="2" customFormat="false" ht="15" hidden="false" customHeight="false" outlineLevel="0" collapsed="false">
      <c r="A2" s="17"/>
    </row>
    <row r="3" customFormat="false" ht="15" hidden="false" customHeight="false" outlineLevel="0" collapsed="false">
      <c r="A3" s="17" t="s">
        <v>113</v>
      </c>
    </row>
    <row r="4" customFormat="false" ht="15" hidden="false" customHeight="false" outlineLevel="0" collapsed="false">
      <c r="A4" s="17" t="s">
        <v>114</v>
      </c>
    </row>
    <row r="5" customFormat="false" ht="15" hidden="false" customHeight="false" outlineLevel="0" collapsed="false">
      <c r="A5" s="17"/>
    </row>
    <row r="6" customFormat="false" ht="15" hidden="false" customHeight="false" outlineLevel="0" collapsed="false">
      <c r="A6" s="18" t="s">
        <v>115</v>
      </c>
    </row>
    <row r="7" customFormat="false" ht="15" hidden="false" customHeight="false" outlineLevel="0" collapsed="false">
      <c r="A7" s="17" t="s">
        <v>116</v>
      </c>
    </row>
    <row r="8" customFormat="false" ht="15" hidden="false" customHeight="false" outlineLevel="0" collapsed="false">
      <c r="A8" s="17" t="s">
        <v>117</v>
      </c>
    </row>
    <row r="9" customFormat="false" ht="15" hidden="false" customHeight="false" outlineLevel="0" collapsed="false">
      <c r="A9" s="17" t="s">
        <v>118</v>
      </c>
    </row>
    <row r="10" customFormat="false" ht="15" hidden="false" customHeight="false" outlineLevel="0" collapsed="false">
      <c r="A10" s="17" t="s">
        <v>119</v>
      </c>
    </row>
    <row r="11" customFormat="false" ht="15" hidden="false" customHeight="false" outlineLevel="0" collapsed="false">
      <c r="A11" s="17" t="s">
        <v>120</v>
      </c>
    </row>
    <row r="12" customFormat="false" ht="15" hidden="false" customHeight="false" outlineLevel="0" collapsed="false">
      <c r="A12" s="17" t="s">
        <v>121</v>
      </c>
    </row>
    <row r="13" customFormat="false" ht="15" hidden="false" customHeight="false" outlineLevel="0" collapsed="false">
      <c r="A13" s="17" t="s">
        <v>122</v>
      </c>
    </row>
    <row r="14" customFormat="false" ht="15" hidden="false" customHeight="false" outlineLevel="0" collapsed="false">
      <c r="A14" s="17" t="s">
        <v>123</v>
      </c>
    </row>
    <row r="15" customFormat="false" ht="15" hidden="false" customHeight="false" outlineLevel="0" collapsed="false">
      <c r="A15" s="17" t="s">
        <v>124</v>
      </c>
    </row>
    <row r="16" customFormat="false" ht="15" hidden="false" customHeight="false" outlineLevel="0" collapsed="false">
      <c r="A16" s="17"/>
    </row>
    <row r="17" customFormat="false" ht="15" hidden="false" customHeight="false" outlineLevel="0" collapsed="false">
      <c r="A17" s="18" t="s">
        <v>125</v>
      </c>
    </row>
    <row r="18" customFormat="false" ht="15" hidden="false" customHeight="false" outlineLevel="0" collapsed="false">
      <c r="A18" s="17" t="s">
        <v>126</v>
      </c>
    </row>
    <row r="19" customFormat="false" ht="15" hidden="false" customHeight="false" outlineLevel="0" collapsed="false">
      <c r="A19" s="17" t="s">
        <v>127</v>
      </c>
    </row>
    <row r="20" customFormat="false" ht="15" hidden="false" customHeight="false" outlineLevel="0" collapsed="false">
      <c r="A20" s="17"/>
    </row>
    <row r="21" customFormat="false" ht="15" hidden="false" customHeight="false" outlineLevel="0" collapsed="false">
      <c r="A21" s="18" t="s">
        <v>128</v>
      </c>
    </row>
    <row r="22" customFormat="false" ht="15" hidden="false" customHeight="false" outlineLevel="0" collapsed="false">
      <c r="A22" s="17" t="s">
        <v>129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LibreOffice/26.8.1.1$Windows_X86_64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2026-10-30T19:57:04Z</dcterms:created>
  <dc:creator>openpyxl</dc:creator>
  <dc:description/>
  <dc:language>en-US</dc:language>
  <cp:lastModifiedBy/>
  <dcterms:modified xsi:type="dcterms:W3CDTF">2026-10-30T19:57:04Z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